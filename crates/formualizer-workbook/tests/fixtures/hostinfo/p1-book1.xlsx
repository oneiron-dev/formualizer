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  <sheet name="O'Brien" sheetId="4" state="visible" r:id="rId4"/>
    <sheet name="Données" sheetId="5" state="visible" r:id="rId5"/>
    <sheet name="1Q" sheetId="6" state="visible" r:id="rId6"/>
    <sheet name="Sheet (2)" sheetId="7" state="visible" r:id="rId7"/>
    <sheet name="Fmt" sheetId="8" state="visible" r:id="rId8"/>
  </sheets>
  <definedNames>
    <definedName name="obref">'O''Brien'!$B$2</definedName>
    <definedName name="wbpath">CELL("filename",Main!$A$1)</definedName>
    <definedName name="sheetname">MID(CELL("filename",Main!$A$1),FIND("]",CELL("filename",Main!$A$1))+1,255)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0;[Red]-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37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W1</t>
        </is>
      </c>
      <c r="Z1" t="inlineStr">
        <is>
          <t>system</t>
        </is>
      </c>
    </row>
    <row r="2">
      <c r="B2" t="n">
        <v>20</v>
      </c>
      <c r="D2">
        <f>CELL("filename",Other!A1)</f>
        <v/>
      </c>
    </row>
    <row r="3">
      <c r="C3" t="inlineStr">
        <is>
          <t>tx</t>
        </is>
      </c>
      <c r="D3">
        <f>CELL("filename",'My Sheet'!A1)</f>
        <v/>
      </c>
    </row>
    <row r="4">
      <c r="D4">
        <f>CELL("filename",'O''Brien'!A1)</f>
        <v/>
      </c>
    </row>
    <row r="5">
      <c r="D5">
        <f>CELL("filename",Données!A1)</f>
        <v/>
      </c>
    </row>
    <row r="6">
      <c r="D6">
        <f>CELL("filename",'1Q'!A1)</f>
        <v/>
      </c>
    </row>
    <row r="7">
      <c r="D7">
        <f>CELL("filename",'Sheet (2)'!A1)</f>
        <v/>
      </c>
    </row>
    <row r="8">
      <c r="D8">
        <f>CELL("filename",other!B2:C3)</f>
        <v/>
      </c>
    </row>
    <row r="9">
      <c r="D9">
        <f>CELL("filename",INDIRECT("'My Sheet'!B2"))</f>
        <v/>
      </c>
    </row>
    <row r="10">
      <c r="D10">
        <f>CELL("filename",OFFSET(Other!A1,1,1))</f>
        <v/>
      </c>
    </row>
    <row r="11">
      <c r="D11">
        <f>CELL("FILENAME",Main!A1)</f>
        <v/>
      </c>
    </row>
    <row r="12">
      <c r="D12">
        <f>CELL("filename",obref)</f>
        <v/>
      </c>
    </row>
    <row r="13">
      <c r="D13">
        <f>CELL("filename")</f>
        <v/>
      </c>
    </row>
    <row r="14">
      <c r="D14">
        <f>CELL("address",Other!B2)</f>
        <v/>
      </c>
    </row>
    <row r="15">
      <c r="D15">
        <f>CELL("address",'My Sheet'!B2)</f>
        <v/>
      </c>
    </row>
    <row r="16">
      <c r="D16">
        <f>CELL("address",'O''Brien'!B2)</f>
        <v/>
      </c>
    </row>
    <row r="17">
      <c r="D17">
        <f>CELL("address",Données!B2)</f>
        <v/>
      </c>
    </row>
    <row r="18">
      <c r="D18">
        <f>CELL("address",'1Q'!B2)</f>
        <v/>
      </c>
    </row>
    <row r="19">
      <c r="D19">
        <f>CELL("address",'Sheet (2)'!B2)</f>
        <v/>
      </c>
    </row>
    <row r="20">
      <c r="D20">
        <f>CELL("address",Main!B2)</f>
        <v/>
      </c>
    </row>
    <row r="21">
      <c r="D21">
        <f>CELL("address",INDIRECT("'Sheet (2)'!C3"))</f>
        <v/>
      </c>
    </row>
    <row r="22">
      <c r="D22">
        <f>MID(CELL("filename",A1),FIND("]",CELL("filename",A1))+1,255)</f>
        <v/>
      </c>
    </row>
    <row r="23">
      <c r="D23">
        <f>RIGHT(CELL("filename",A1),LEN(CELL("filename",A1))-FIND("]",CELL("filename",A1)))</f>
        <v/>
      </c>
    </row>
    <row r="24">
      <c r="D24">
        <f>MID(CELL("filename",'My Sheet'!A1),FIND("]",CELL("filename",'My Sheet'!A1))+1,31)</f>
        <v/>
      </c>
    </row>
    <row r="25">
      <c r="D25">
        <f>LEFT(CELL("filename",A1),FIND("[",CELL("filename",A1))-1)</f>
        <v/>
      </c>
    </row>
    <row r="26">
      <c r="D26">
        <f>MID(CELL("filename",A1),FIND("[",CELL("filename",A1))+1,FIND("]",CELL("filename",A1))-FIND("[",CELL("filename",A1))-1)</f>
        <v/>
      </c>
    </row>
    <row r="27">
      <c r="D27">
        <f>SUBSTITUTE(LEFT(CELL("filename",A1),FIND("]",CELL("filename",A1))-1),"[","")</f>
        <v/>
      </c>
    </row>
    <row r="28">
      <c r="D28">
        <f>_xlfn.TEXTAFTER(CELL("filename",A1),"]")</f>
        <v/>
      </c>
    </row>
    <row r="29">
      <c r="D29">
        <f>_xlfn.TEXTBEFORE(_xlfn.TEXTAFTER(CELL("filename",A1),"["),"]")</f>
        <v/>
      </c>
    </row>
    <row r="30">
      <c r="D30">
        <f>LEN(CELL("filename",A1))</f>
        <v/>
      </c>
    </row>
    <row r="31">
      <c r="D31">
        <f>REPLACE(CELL("filename",A1),1,FIND("]",CELL("filename",A1)),"")</f>
        <v/>
      </c>
    </row>
    <row r="32">
      <c r="D32">
        <f>CELL("filename",Other!A1)=CELL("filename",other!A1)</f>
        <v/>
      </c>
    </row>
    <row r="33">
      <c r="D33">
        <f>wbpath</f>
        <v/>
      </c>
    </row>
    <row r="34">
      <c r="D34">
        <f>sheetname</f>
        <v/>
      </c>
    </row>
    <row r="35">
      <c r="D35">
        <f>FIND("]",CELL("filename",A1))</f>
        <v/>
      </c>
    </row>
    <row r="36">
      <c r="D36">
        <f>INFO("directory")</f>
        <v/>
      </c>
    </row>
    <row r="37">
      <c r="D37">
        <f>INFO("numfile")</f>
        <v/>
      </c>
    </row>
    <row r="38">
      <c r="D38">
        <f>INFO("origin")</f>
        <v/>
      </c>
    </row>
    <row r="39">
      <c r="D39">
        <f>INFO("osversion")</f>
        <v/>
      </c>
    </row>
    <row r="40">
      <c r="D40">
        <f>INFO("recalc")</f>
        <v/>
      </c>
    </row>
    <row r="41">
      <c r="D41">
        <f>INFO("release")</f>
        <v/>
      </c>
    </row>
    <row r="42">
      <c r="D42">
        <f>INFO("system")</f>
        <v/>
      </c>
    </row>
    <row r="43">
      <c r="D43">
        <f>INFO("memavail")</f>
        <v/>
      </c>
    </row>
    <row r="44">
      <c r="D44">
        <f>INFO("memused")</f>
        <v/>
      </c>
    </row>
    <row r="45">
      <c r="D45">
        <f>INFO("totmem")</f>
        <v/>
      </c>
    </row>
    <row r="46">
      <c r="D46">
        <f>INFO("bogus")</f>
        <v/>
      </c>
    </row>
    <row r="47">
      <c r="D47">
        <f>INFO("SYSTEM")</f>
        <v/>
      </c>
    </row>
    <row r="48">
      <c r="D48">
        <f>INFO("")</f>
        <v/>
      </c>
    </row>
    <row r="49">
      <c r="D49">
        <f>INFO(1/0)</f>
        <v/>
      </c>
    </row>
    <row r="50">
      <c r="D50">
        <f>INFO(A1)</f>
        <v/>
      </c>
    </row>
    <row r="51">
      <c r="D51">
        <f>INFO(Z1)</f>
        <v/>
      </c>
    </row>
    <row r="52">
      <c r="D52">
        <f>ISERROR(INFO("osversion"))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</row>
    <row r="2">
      <c r="B2" t="n">
        <v>20</v>
      </c>
      <c r="D2">
        <f>CELL("filename",Main!A1)</f>
        <v/>
      </c>
    </row>
    <row r="3">
      <c r="C3" t="inlineStr">
        <is>
          <t>tx</t>
        </is>
      </c>
      <c r="D3">
        <f>MID(CELL("filename",A1),FIND("]",CELL("filename",A1))+1,255)</f>
        <v/>
      </c>
    </row>
    <row r="4">
      <c r="D4">
        <f>CELL("address",Main!B2)</f>
        <v/>
      </c>
    </row>
    <row r="5">
      <c r="D5">
        <f>CELL("address",B2)</f>
        <v/>
      </c>
    </row>
    <row r="6">
      <c r="D6">
        <f>CELL("address",'My Sheet'!B2)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t="n">
        <v>1</v>
      </c>
      <c r="D1">
        <f>CELL("format",A1)</f>
        <v/>
      </c>
    </row>
    <row r="2">
      <c r="A2" s="1" t="n">
        <v>1.5</v>
      </c>
      <c r="B2" t="n">
        <v>20</v>
      </c>
      <c r="D2">
        <f>CELL("format",A2)</f>
        <v/>
      </c>
    </row>
    <row r="3">
      <c r="A3" s="2" t="n">
        <v>1234</v>
      </c>
      <c r="C3" t="inlineStr">
        <is>
          <t>tx</t>
        </is>
      </c>
      <c r="D3">
        <f>CELL("format",A3)</f>
        <v/>
      </c>
    </row>
    <row r="4">
      <c r="A4" s="3" t="n">
        <v>0.5</v>
      </c>
      <c r="D4">
        <f>CELL("format",A4)</f>
        <v/>
      </c>
    </row>
    <row r="5">
      <c r="A5" s="4" t="n">
        <v>45000</v>
      </c>
      <c r="D5">
        <f>CELL("format",A5)</f>
        <v/>
      </c>
    </row>
    <row r="6">
      <c r="A6" s="5" t="inlineStr">
        <is>
          <t>left</t>
        </is>
      </c>
      <c r="D6">
        <f>CELL("format",A9)</f>
        <v/>
      </c>
    </row>
    <row r="7">
      <c r="A7" s="6" t="inlineStr">
        <is>
          <t>right</t>
        </is>
      </c>
      <c r="D7">
        <f>CELL("format",A10)</f>
        <v/>
      </c>
    </row>
    <row r="8">
      <c r="A8" s="7" t="inlineStr">
        <is>
          <t>center</t>
        </is>
      </c>
      <c r="D8">
        <f>CELL("prefix",A6)</f>
        <v/>
      </c>
    </row>
    <row r="9">
      <c r="A9" s="8" t="n">
        <v>-5</v>
      </c>
      <c r="D9">
        <f>CELL("prefix",A7)</f>
        <v/>
      </c>
    </row>
    <row r="10">
      <c r="A10" s="9" t="n">
        <v>5</v>
      </c>
      <c r="D10">
        <f>CELL("prefix",A8)</f>
        <v/>
      </c>
    </row>
    <row r="11">
      <c r="A11" t="inlineStr">
        <is>
          <t>plain</t>
        </is>
      </c>
      <c r="D11">
        <f>CELL("prefix",A11)</f>
        <v/>
      </c>
    </row>
    <row r="12">
      <c r="A12" s="10" t="n">
        <v>7</v>
      </c>
      <c r="D12">
        <f>CELL("prefix",A1)</f>
        <v/>
      </c>
    </row>
    <row r="13">
      <c r="D13">
        <f>CELL("color",A9)</f>
        <v/>
      </c>
    </row>
    <row r="14">
      <c r="D14">
        <f>CELL("color",A1)</f>
        <v/>
      </c>
    </row>
    <row r="15">
      <c r="D15">
        <f>CELL("parentheses",A10)</f>
        <v/>
      </c>
    </row>
    <row r="16">
      <c r="D16">
        <f>CELL("parentheses",A1)</f>
        <v/>
      </c>
    </row>
    <row r="17">
      <c r="D17">
        <f>CELL("protect",A1)</f>
        <v/>
      </c>
    </row>
    <row r="18">
      <c r="D18">
        <f>CELL("protect",A12)</f>
        <v/>
      </c>
    </row>
    <row r="19">
      <c r="D19">
        <f>CELL("width",A1)</f>
        <v/>
      </c>
    </row>
    <row r="20">
      <c r="D20">
        <f>CELL("width",B1)</f>
        <v/>
      </c>
    </row>
    <row r="21">
      <c r="D21">
        <f>INDEX(CELL("width",B1),1,2)</f>
        <v/>
      </c>
    </row>
    <row r="22">
      <c r="D22">
        <f>COLUMNS(CELL("width",A1))</f>
        <v/>
      </c>
    </row>
    <row r="23">
      <c r="D23">
        <f>CELL("prefix",Z99)</f>
        <v/>
      </c>
    </row>
    <row r="24">
      <c r="D24">
        <f>CELL("format",Z99)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