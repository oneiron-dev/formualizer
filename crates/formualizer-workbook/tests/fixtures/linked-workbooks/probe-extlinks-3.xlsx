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externalReferences>
    <externalReference r:id="rId3"/>
  </externalReferences>
  <definedNames>
    <definedName name="OkCol">[1]Ok!$A$1:$A$5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obe3_source_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rr"/>
      <sheetName val="Ok"/>
    </sheetNames>
    <sheetDataSet>
      <sheetData sheetId="0" refreshError="1">
        <row r="1">
          <cell r="A1">
            <v>1</v>
          </cell>
          <cell r="B1" t="str">
            <v>a</v>
          </cell>
        </row>
        <row r="2">
          <cell r="A2">
            <v>2</v>
          </cell>
          <cell r="B2" t="str">
            <v>b</v>
          </cell>
        </row>
        <row r="3">
          <cell r="A3">
            <v>3</v>
          </cell>
          <cell r="B3" t="str">
            <v>c</v>
          </cell>
        </row>
        <row r="4">
          <cell r="A4">
            <v>4</v>
          </cell>
          <cell r="B4" t="str">
            <v>d</v>
          </cell>
        </row>
        <row r="5">
          <cell r="A5">
            <v>5</v>
          </cell>
          <cell r="B5" t="str">
            <v>e</v>
          </cell>
        </row>
      </sheetData>
      <sheetData sheetId="1">
        <row r="1">
          <cell r="A1">
            <v>1</v>
          </cell>
          <cell r="B1" t="str">
            <v>a</v>
          </cell>
          <cell r="C1" t="e">
            <v>#N/A</v>
          </cell>
        </row>
        <row r="2">
          <cell r="A2">
            <v>2</v>
          </cell>
          <cell r="B2" t="str">
            <v>b</v>
          </cell>
        </row>
        <row r="3">
          <cell r="A3">
            <v>3</v>
          </cell>
          <cell r="B3" t="str">
            <v>c</v>
          </cell>
        </row>
        <row r="4">
          <cell r="A4">
            <v>4</v>
          </cell>
          <cell r="B4" t="str">
            <v>d</v>
          </cell>
        </row>
        <row r="5">
          <cell r="A5">
            <v>5</v>
          </cell>
          <cell r="B5" t="str">
            <v>e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E2">
        <f>VLOOKUP([1]Ok!A1:A5,[1]Ok!A1:B5,2,FALSE)</f>
      </c>
    </row>
    <row r="3">
      <c r="E3">
        <f>TEXT([1]Ok!A1:A5,"0.0")</f>
      </c>
    </row>
    <row r="4">
      <c r="E4">
        <f>OkCol*10</f>
      </c>
    </row>
    <row r="9">
      <c r="E9">
        <f>TEXT([1]Ok!A1:A5,"0.0")</f>
      </c>
    </row>
    <row r="12">
      <c r="E12">
        <f>OkCol*10</f>
      </c>
    </row>
    <row r="20">
      <c r="E20">
        <f t="array" ref="E20">MAX(IF([1]Err!A:A&gt;2,[1]Err!A:A))</f>
      </c>
    </row>
    <row r="21">
      <c r="E21">
        <f t="array" ref="E21">SUM(IF(ISNUMBER([1]Err!A:A),1))</f>
      </c>
    </row>
    <row r="23">
      <c r="E23">
        <f t="array" ref="E23">SUM(IFERROR([1]Err!A:A,0))</f>
      </c>
    </row>
    <row r="24">
      <c r="E24">
        <f t="array" ref="E24">MAX(IF([1]Ok!A:A&gt;2,[1]Ok!A:A))</f>
      </c>
    </row>
    <row r="25">
      <c r="E25">
        <f t="array" ref="E25">LARGE(IF([1]Ok!A:A&gt;0,ROW([1]Ok!A:A)),1)</f>
      </c>
    </row>
    <row r="26">
      <c r="E26">
        <f t="array" ref="E26">SMALL(IF([1]Err!A:A&gt;2,ROW([1]Err!A:A)),1)</f>
      </c>
    </row>
    <row r="27">
      <c r="E27">
        <f t="array" ref="E27">INDEX([1]Ok!B:B,SMALL(IF([1]Ok!A:A&gt;2,ROW([1]Ok!A:A)),2))</f>
      </c>
    </row>
    <row r="28">
      <c r="E28">
        <f t="array" ref="E28">_xlfn.CONCAT([1]Err!B:B)</f>
      </c>
    </row>
    <row r="29">
      <c r="E29">
        <f t="array" ref="E29">_xlfn.TEXTJOIN(",",TRUE,[1]Ok!B:B)</f>
      </c>
    </row>
    <row r="30">
      <c r="E30">
        <f t="array" ref="E30">SUM(([1]Ok!A1:A5&gt;2)*1)</f>
      </c>
    </row>
    <row r="31">
      <c r="E31">
        <f>SUBTOTAL(9,[1]Ok!A1:A5)</f>
      </c>
    </row>
    <row r="32">
      <c r="E32">
        <f>SUBTOTAL(3,[1]Ok!A1:A5)</f>
      </c>
    </row>
    <row r="33">
      <c r="E33">
        <f>_xlfn.AGGREGATE(9,6,[1]Ok!A1:A5)</f>
      </c>
    </row>
    <row r="34">
      <c r="E34">
        <f>_xlfn.AGGREGATE(9,6,[1]Err!A:A)</f>
      </c>
    </row>
    <row r="35">
      <c r="E35">
        <f>_xlfn.AGGREGATE(3,6,[1]Err!A:A)</f>
      </c>
    </row>
    <row r="37">
      <c r="E37">
        <f>_xlfn.AGGREGATE(14,6,[1]Ok!A1:A5,2)</f>
      </c>
    </row>
    <row r="38">
      <c r="E38">
        <f>_xlfn.ISFORMULA([1]Ok!A1)</f>
      </c>
    </row>
    <row r="39">
      <c r="E39">
        <f>_xlfn.FORMULATEXT([1]Ok!A1)</f>
      </c>
    </row>
    <row r="40">
      <c r="E40">
        <f>_xlfn.SHEET([1]Ok!A1)</f>
      </c>
    </row>
    <row r="41">
      <c r="E41">
        <f>_xlfn.SHEETS([1]Ok!A1)</f>
      </c>
    </row>
    <row r="42">
      <c r="E42">
        <f>ERROR.TYPE([1]Err!A9)</f>
      </c>
    </row>
    <row r="43">
      <c r="E43">
        <f>ISNA([1]Ok!C1)</f>
      </c>
    </row>
    <row r="44">
      <c r="E44">
        <f>T([1]Ok!B1)</f>
      </c>
    </row>
    <row r="45">
      <c r="E45">
        <f>SUMPRODUCT([1]Ok!A1:A5,[1]Ok!A1:A5)</f>
      </c>
    </row>
    <row r="46">
      <c r="E46">
        <f>SUMPRODUCT([1]Err!A:A)</f>
      </c>
    </row>
    <row r="52">
      <c r="E52">
        <f>[1]ok!A2</f>
      </c>
    </row>
    <row r="53">
      <c r="E53">
        <f>COUNTIF(A1:A3,[1]Ok!A1)</f>
      </c>
    </row>
    <row r="54">
      <c r="E54">
        <f>SUM(INDEX([1]Ok!A1:B5,0,1))</f>
      </c>
    </row>
    <row r="55">
      <c r="E55">
        <f>COLUMNS(INDEX([1]Ok!A1:B5,2,0))</f>
      </c>
    </row>
    <row r="56">
      <c r="E56">
        <f>INDEX([1]Err!B:B,MATCH(4,[1]Err!A:A,0))</f>
      </c>
    </row>
    <row r="57">
      <c r="E57">
        <f>VLOOKUP(9,[1]Err!A:B,2,FALSE)</f>
      </c>
    </row>
    <row r="58">
      <c r="E58">
        <f>_xlfn.XLOOKUP(3,[1]Err!A:A,[1]Err!B:B,"no",0,-1)</f>
      </c>
    </row>
    <row r="59">
      <c r="E59">
        <f>_xlfn.XMATCH(9,[1]Err!A:A,-1)</f>
      </c>
    </row>
    <row r="61">
      <c r="E61">
        <f>LOOKUP(2.5,[1]Err!A:A,[1]Err!B:B)</f>
      </c>
    </row>
    <row r="62">
      <c r="E62">
        <f>MIN([1]Ok!A:A)</f>
      </c>
    </row>
    <row r="63">
      <c r="E63">
        <f>AVERAGE([1]Ok!A:A)</f>
      </c>
    </row>
    <row r="64">
      <c r="E64">
        <f>COUNTA([1]Ok!A:B)</f>
      </c>
    </row>
    <row r="65">
      <c r="E65">
        <f>COUNT([1]Err!A:B)</f>
      </c>
    </row>
    <row r="66">
      <c r="E66">
        <f>MAX([1]Err!A:A)</f>
      </c>
    </row>
    <row r="67">
      <c r="E67">
        <f>PRODUCT([1]Err!A1:A5)</f>
      </c>
    </row>
    <row r="68">
      <c r="E68">
        <f>N(INDEX([1]Err!A:A,3))</f>
      </c>
    </row>
    <row r="69">
      <c r="E69">
        <f>ROWS(INDEX([1]Ok!A1:B5,0,2))</f>
      </c>
    </row>
  </sheetData>
</worksheet>
</file>