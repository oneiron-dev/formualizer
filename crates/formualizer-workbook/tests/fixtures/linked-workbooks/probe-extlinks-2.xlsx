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Sheet1" sheetId="1" r:id="rId1"/>
  </sheets>
  <externalReferences>
    <externalReference r:id="rId3"/>
    <externalReference r:id="rId4"/>
    <externalReference r:id="rId5"/>
  </externalReferences>
  <definedNames>
    <definedName name="LocalExt">[1]Ok!$A$1:$A$5</definedName>
  </definedNames>
  <calcPr calcId="191029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4" Type="http://schemas.openxmlformats.org/officeDocument/2006/relationships/externalLink" Target="externalLinks/externalLink2.xml"/><Relationship Id="rId5" Type="http://schemas.openxmlformats.org/officeDocument/2006/relationships/externalLink" Target="externalLinks/externalLink3.xml"/></Relationships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probe2_source_a.xlsx" TargetMode="External"/></Relationships>
</file>

<file path=xl/externalLinks/_rels/externalLink2.xml.rels><?xml version="1.0" encoding="UTF-8" standalone="yes"?>
<Relationships xmlns="http://schemas.openxmlformats.org/package/2006/relationships"><Relationship Id="rId1" Type="http://schemas.openxmlformats.org/officeDocument/2006/relationships/externalLinkPath" Target="probe2_source_b.xlsx" TargetMode="External"/></Relationships>
</file>

<file path=xl/externalLinks/_rels/externalLink3.xml.rels><?xml version="1.0" encoding="UTF-8" standalone="yes"?>
<Relationships xmlns="http://schemas.openxmlformats.org/package/2006/relationships"><Relationship Id="rId1" Type="http://schemas.openxmlformats.org/officeDocument/2006/relationships/externalLinkPath" Target="probe2_source_c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rr"/>
      <sheetName val="Ok"/>
      <sheetName val="Row"/>
    </sheetNames>
    <definedNames>
      <definedName name="CellName" refersTo="=Ok!$A$2"/>
      <definedName name="RangeName" refersTo="=Ok!$A$1:$A$5"/>
      <definedName name="ErrName" refersTo="=Err!$A$9"/>
      <definedName name="ConstName" refersTo="=7"/>
    </definedNames>
    <sheetDataSet>
      <sheetData sheetId="0" refreshError="1">
        <row r="1">
          <cell r="A1">
            <v>1</v>
          </cell>
          <cell r="B1" t="str">
            <v>a</v>
          </cell>
        </row>
        <row r="2">
          <cell r="A2">
            <v>2</v>
          </cell>
          <cell r="B2" t="str">
            <v>b</v>
          </cell>
        </row>
        <row r="3">
          <cell r="A3">
            <v>3</v>
          </cell>
          <cell r="B3" t="str">
            <v>c</v>
          </cell>
        </row>
        <row r="4">
          <cell r="A4">
            <v>4</v>
          </cell>
          <cell r="B4" t="str">
            <v>d</v>
          </cell>
        </row>
        <row r="5">
          <cell r="A5">
            <v>5</v>
          </cell>
          <cell r="B5" t="str">
            <v>e</v>
          </cell>
        </row>
      </sheetData>
      <sheetData sheetId="1">
        <row r="1">
          <cell r="A1">
            <v>1</v>
          </cell>
          <cell r="B1" t="str">
            <v>a</v>
          </cell>
        </row>
        <row r="2">
          <cell r="A2">
            <v>2</v>
          </cell>
          <cell r="B2" t="str">
            <v>b</v>
          </cell>
        </row>
        <row r="3">
          <cell r="A3">
            <v>3</v>
          </cell>
          <cell r="B3" t="str">
            <v>c</v>
          </cell>
        </row>
        <row r="4">
          <cell r="A4">
            <v>4</v>
          </cell>
          <cell r="B4" t="str">
            <v>d</v>
          </cell>
        </row>
        <row r="5">
          <cell r="A5">
            <v>5</v>
          </cell>
          <cell r="B5" t="str">
            <v>e</v>
          </cell>
        </row>
      </sheetData>
      <sheetData sheetId="2" refreshError="1">
        <row r="1">
          <cell r="A1">
            <v>1</v>
          </cell>
          <cell r="B1">
            <v>2</v>
          </cell>
          <cell r="C1">
            <v>3</v>
          </cell>
        </row>
        <row r="2">
          <cell r="A2" t="str">
            <v>p</v>
          </cell>
          <cell r="B2" t="str">
            <v>q</v>
          </cell>
          <cell r="C2" t="str">
            <v>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"/>
    </sheetNames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"/>
      <sheetName val="U"/>
    </sheetNames>
    <sheetDataSet>
      <sheetData sheetId="0">
        <row r="1">
          <cell r="A1">
            <v>9</v>
          </cell>
        </row>
      </sheetData>
    </sheetDataSet>
  </externalBook>
</externalLink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E1">
        <f>[2]S!A1</f>
      </c>
    </row>
    <row r="2">
      <c r="E2">
        <f>SUM([2]S!A1:A3)</f>
      </c>
    </row>
    <row r="3">
      <c r="E3">
        <f>ISBLANK([2]S!A1)</f>
      </c>
    </row>
    <row r="4">
      <c r="E4">
        <f>[3]U!A1</f>
      </c>
    </row>
    <row r="5">
      <c r="E5">
        <f>[3]T!A1</f>
      </c>
    </row>
    <row r="6">
      <c r="E6">
        <f>[3]T!A2</f>
      </c>
    </row>
    <row r="8">
      <c r="E8">
        <f>COUNT([1]Err!A:A)</f>
      </c>
    </row>
    <row r="9">
      <c r="E9">
        <f>SUM([1]Err!A:A)</f>
      </c>
    </row>
    <row r="10">
      <c r="E10">
        <f>MATCH(4,[1]Err!A:A,0)</f>
      </c>
    </row>
    <row r="11">
      <c r="E11">
        <f>MATCH(9,[1]Err!A:A,0)</f>
      </c>
    </row>
    <row r="12">
      <c r="E12">
        <f>MATCH(4,[1]Err!A:A,1)</f>
      </c>
    </row>
    <row r="13">
      <c r="E13">
        <f>MATCH(99,[1]Err!A:A,1)</f>
      </c>
    </row>
    <row r="14">
      <c r="E14">
        <f>MATCH(4.5,[1]Err!A:A)</f>
      </c>
    </row>
    <row r="15">
      <c r="E15">
        <f>VLOOKUP(3,[1]Err!A:B,2,FALSE)</f>
      </c>
    </row>
    <row r="16">
      <c r="E16">
        <f>VLOOKUP(3.5,[1]Err!A:B,2,TRUE)</f>
      </c>
    </row>
    <row r="17">
      <c r="E17">
        <f>VLOOKUP(99,[1]Err!A:B,2)</f>
      </c>
    </row>
    <row r="18">
      <c r="E18">
        <f>LOOKUP(3.5,[1]Err!A:A,[1]Err!B:B)</f>
      </c>
    </row>
    <row r="19">
      <c r="E19">
        <f>LOOKUP(99,[1]Err!A:A)</f>
      </c>
    </row>
    <row r="20">
      <c r="E20">
        <f>_xlfn.XLOOKUP(3,[1]Err!A:A,[1]Err!B:B)</f>
      </c>
    </row>
    <row r="21">
      <c r="E21">
        <f>_xlfn.XLOOKUP(9,[1]Err!A:A,[1]Err!B:B,"none")</f>
      </c>
    </row>
    <row r="22">
      <c r="E22">
        <f>_xlfn.XLOOKUP(3.5,[1]Err!A:A,[1]Err!B:B,,-1)</f>
      </c>
    </row>
    <row r="23">
      <c r="E23">
        <f>_xlfn.XMATCH(3,[1]Err!A:A,0,2)</f>
      </c>
    </row>
    <row r="24">
      <c r="E24">
        <f>INDEX([1]Err!A:A,5)</f>
      </c>
    </row>
    <row r="25">
      <c r="E25">
        <f>INDEX([1]Err!A:A,6)</f>
      </c>
    </row>
    <row r="26">
      <c r="E26">
        <f>INDEX([1]Err!A:A,1000)</f>
      </c>
    </row>
    <row r="27">
      <c r="E27">
        <f>MAX(IF([1]Err!A:A&gt;2,[1]Err!A:A))</f>
      </c>
    </row>
    <row r="28">
      <c r="E28">
        <f>SUMPRODUCT(--ISERROR([1]Err!A1:A10))</f>
      </c>
    </row>
    <row r="33">
      <c r="E33">
        <f>MATCH(4,[1]Err!A1:A10,1)</f>
      </c>
    </row>
    <row r="34">
      <c r="E34">
        <f>VLOOKUP(3.5,[1]Err!A1:B10,2,TRUE)</f>
      </c>
    </row>
    <row r="35">
      <c r="E35">
        <f>LOOKUP(99,[1]Err!A1:A10)</f>
      </c>
    </row>
    <row r="36">
      <c r="E36">
        <f>SUM([1]Row!1:1)</f>
      </c>
    </row>
    <row r="37">
      <c r="E37">
        <f>MATCH(3,[1]Row!1:1,0)</f>
      </c>
    </row>
    <row r="38">
      <c r="E38">
        <f>HLOOKUP(2,[1]Row!1:2,2,FALSE)</f>
      </c>
    </row>
    <row r="40">
      <c r="E40">
        <f>COUNTA([1]Ok!A:A)</f>
      </c>
    </row>
    <row r="41">
      <c r="E41">
        <f>SUM([1]Ok!A:A)</f>
      </c>
    </row>
    <row r="42">
      <c r="E42">
        <f>MATCH(4,[1]Ok!A:A,1)</f>
      </c>
    </row>
    <row r="43">
      <c r="E43">
        <f>MATCH(99,[1]Ok!A:A)</f>
      </c>
    </row>
    <row r="44">
      <c r="E44">
        <f>LOOKUP(3.5,[1]Ok!A:A,[1]Ok!B:B)</f>
      </c>
    </row>
    <row r="45">
      <c r="E45">
        <f>VLOOKUP(99,[1]Ok!A:B,2)</f>
      </c>
    </row>
    <row r="46">
      <c r="E46">
        <f>ISREF(INDEX([1]Ok!A1:A5,3))</f>
      </c>
    </row>
    <row r="47">
      <c r="E47">
        <f>SUM(INDEX([1]Ok!A1:A5,2):INDEX([1]Ok!A1:A5,4))</f>
      </c>
    </row>
    <row r="48">
      <c r="E48">
        <f>ROWS(INDEX([1]Ok!A1:A5,2):INDEX([1]Ok!A1:A5,4))</f>
      </c>
    </row>
    <row r="49">
      <c r="E49">
        <f>COLUMN(INDEX([1]Ok!A1:B5,1,2))</f>
      </c>
    </row>
    <row r="50">
      <c r="E50">
        <f>ISBLANK(INDEX([1]Ok!A1:A9,8))</f>
      </c>
    </row>
    <row r="55">
      <c r="E55">
        <f>[1]!NoSuchName</f>
      </c>
    </row>
    <row r="57">
      <c r="E57">
        <f>SUM(LocalExt)</f>
      </c>
    </row>
    <row r="58">
      <c r="E58">
        <f>INDEX(LocalExt,4)</f>
      </c>
    </row>
    <row r="61">
      <c r="E61">
        <f>SUM([1]Ok!A1:[1]Ok!A3)</f>
      </c>
    </row>
    <row r="62">
      <c r="E62">
        <f>SUM([1]Ok!A1:A5*2)</f>
      </c>
    </row>
    <row r="63">
      <c r="E63">
        <f>_xlfn.CONCAT([1]Ok!B1:B5)</f>
      </c>
    </row>
    <row r="64">
      <c r="E64">
        <f>ISBLANK(INDEX([1]Ok!A:A,100))</f>
      </c>
    </row>
    <row r="65">
      <c r="E65">
        <f>ROWS([1]Err!A:A)</f>
      </c>
    </row>
    <row r="66">
      <c r="E66">
        <f>COLUMNS([1]Row!1:1)</f>
      </c>
    </row>
    <row r="67">
      <c r="E67">
        <f>ROW([1]Err!A:A)</f>
      </c>
    </row>
    <row r="68">
      <c r="E68">
        <f>LARGE(IF([1]Ok!A:A&gt;0,ROW([1]Ok!A:A)),1)</f>
      </c>
    </row>
    <row r="69">
      <c r="E69">
        <f>SMALL(IF([1]Err!A:A&gt;2,ROW([1]Err!A:A)),1)</f>
      </c>
    </row>
  </sheetData>
</worksheet>
</file>