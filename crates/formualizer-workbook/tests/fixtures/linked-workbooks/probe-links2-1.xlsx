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  <sheet name="Loc" sheetId="2" r:id="rIdL2"/>
    <sheet name="LocRow" sheetId="3" r:id="rIdL3"/>
    <sheet name="LocTxt" sheetId="4" r:id="rIdL4"/>
    <sheet name="LocDesc" sheetId="5" r:id="rIdL5"/>
    <sheet name="LocIdx" sheetId="6" r:id="rIdL6"/>
  </sheets>
  <externalReferences>
    <externalReference r:id="rId3"/>
  </externalReferenc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L2" Type="http://schemas.openxmlformats.org/officeDocument/2006/relationships/worksheet" Target="worksheets/sheet2.xml"/><Relationship Id="rIdL3" Type="http://schemas.openxmlformats.org/officeDocument/2006/relationships/worksheet" Target="worksheets/sheet3.xml"/><Relationship Id="rIdL4" Type="http://schemas.openxmlformats.org/officeDocument/2006/relationships/worksheet" Target="worksheets/sheet4.xml"/><Relationship Id="rIdL5" Type="http://schemas.openxmlformats.org/officeDocument/2006/relationships/worksheet" Target="worksheets/sheet5.xml"/><Relationship Id="rIdL6" Type="http://schemas.openxmlformats.org/officeDocument/2006/relationships/worksheet" Target="worksheets/sheet6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links2_source_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k"/>
      <sheetName val="Err"/>
      <sheetName val="Row"/>
      <sheetName val="RowErr"/>
      <sheetName val="Txt"/>
      <sheetName val="Desc"/>
      <sheetName val="Idx"/>
      <sheetName val="IdxErr"/>
    </sheetNames>
    <sheetDataSet>
      <sheetData sheetId="0">
        <row r="10">
          <cell r="A10">
            <v>3</v>
          </cell>
          <cell r="B10" t="str">
            <v>r10</v>
          </cell>
        </row>
        <row r="11">
          <cell r="A11" t="str">
            <v>hdr</v>
          </cell>
          <cell r="B11" t="str">
            <v>r11</v>
          </cell>
        </row>
        <row r="12">
          <cell r="A12">
            <v>100</v>
          </cell>
          <cell r="B12" t="str">
            <v>r12</v>
          </cell>
        </row>
        <row r="13">
          <cell r="A13">
            <v>110</v>
          </cell>
          <cell r="B13" t="str">
            <v>r13</v>
          </cell>
        </row>
        <row r="14">
          <cell r="A14">
            <v>120</v>
          </cell>
          <cell r="B14" t="str">
            <v>r14</v>
          </cell>
        </row>
        <row r="15">
          <cell r="A15">
            <v>130</v>
          </cell>
          <cell r="B15" t="str">
            <v>r15</v>
          </cell>
        </row>
        <row r="16">
          <cell r="A16">
            <v>140</v>
          </cell>
          <cell r="B16" t="str">
            <v>r16</v>
          </cell>
        </row>
        <row r="17">
          <cell r="A17">
            <v>150</v>
          </cell>
          <cell r="B17" t="str">
            <v>r17</v>
          </cell>
        </row>
        <row r="18">
          <cell r="A18">
            <v>160</v>
          </cell>
          <cell r="B18" t="str">
            <v>r18</v>
          </cell>
        </row>
        <row r="19">
          <cell r="A19">
            <v>170</v>
          </cell>
          <cell r="B19" t="str">
            <v>r19</v>
          </cell>
        </row>
        <row r="20">
          <cell r="A20">
            <v>180</v>
          </cell>
          <cell r="B20" t="str">
            <v>r20</v>
          </cell>
        </row>
        <row r="21">
          <cell r="A21">
            <v>5</v>
          </cell>
          <cell r="B21" t="str">
            <v>r21</v>
          </cell>
        </row>
        <row r="22">
          <cell r="A22">
            <v>5</v>
          </cell>
          <cell r="B22" t="str">
            <v>r22</v>
          </cell>
        </row>
        <row r="23">
          <cell r="A23">
            <v>5</v>
          </cell>
          <cell r="B23" t="str">
            <v>r23</v>
          </cell>
        </row>
        <row r="24">
          <cell r="A24">
            <v>5</v>
          </cell>
          <cell r="B24" t="str">
            <v>r24</v>
          </cell>
        </row>
        <row r="25">
          <cell r="A25">
            <v>5</v>
          </cell>
          <cell r="B25" t="str">
            <v>r25</v>
          </cell>
        </row>
      </sheetData>
      <sheetData sheetId="1" refreshError="1">
        <row r="10">
          <cell r="A10">
            <v>3</v>
          </cell>
          <cell r="B10" t="str">
            <v>r10</v>
          </cell>
        </row>
        <row r="11">
          <cell r="A11" t="str">
            <v>hdr</v>
          </cell>
          <cell r="B11" t="str">
            <v>r11</v>
          </cell>
        </row>
        <row r="12">
          <cell r="A12">
            <v>100</v>
          </cell>
          <cell r="B12" t="str">
            <v>r12</v>
          </cell>
        </row>
        <row r="13">
          <cell r="A13">
            <v>110</v>
          </cell>
          <cell r="B13" t="str">
            <v>r13</v>
          </cell>
        </row>
        <row r="14">
          <cell r="A14">
            <v>120</v>
          </cell>
          <cell r="B14" t="str">
            <v>r14</v>
          </cell>
        </row>
        <row r="15">
          <cell r="A15">
            <v>130</v>
          </cell>
          <cell r="B15" t="str">
            <v>r15</v>
          </cell>
        </row>
        <row r="16">
          <cell r="A16">
            <v>140</v>
          </cell>
          <cell r="B16" t="str">
            <v>r16</v>
          </cell>
        </row>
        <row r="17">
          <cell r="A17">
            <v>150</v>
          </cell>
          <cell r="B17" t="str">
            <v>r17</v>
          </cell>
        </row>
        <row r="18">
          <cell r="A18">
            <v>160</v>
          </cell>
          <cell r="B18" t="str">
            <v>r18</v>
          </cell>
        </row>
        <row r="19">
          <cell r="A19">
            <v>170</v>
          </cell>
          <cell r="B19" t="str">
            <v>r19</v>
          </cell>
        </row>
        <row r="20">
          <cell r="A20">
            <v>180</v>
          </cell>
          <cell r="B20" t="str">
            <v>r20</v>
          </cell>
        </row>
        <row r="21">
          <cell r="A21">
            <v>5</v>
          </cell>
          <cell r="B21" t="str">
            <v>r21</v>
          </cell>
        </row>
        <row r="22">
          <cell r="A22">
            <v>5</v>
          </cell>
          <cell r="B22" t="str">
            <v>r22</v>
          </cell>
        </row>
        <row r="23">
          <cell r="A23">
            <v>5</v>
          </cell>
          <cell r="B23" t="str">
            <v>r23</v>
          </cell>
        </row>
        <row r="24">
          <cell r="A24">
            <v>5</v>
          </cell>
          <cell r="B24" t="str">
            <v>r24</v>
          </cell>
        </row>
        <row r="25">
          <cell r="A25">
            <v>5</v>
          </cell>
          <cell r="B25" t="str">
            <v>r25</v>
          </cell>
        </row>
      </sheetData>
      <sheetData sheetId="2">
        <row r="1">
          <cell r="J1">
            <v>3</v>
          </cell>
          <cell r="K1" t="str">
            <v>hdr</v>
          </cell>
          <cell r="L1">
            <v>100</v>
          </cell>
          <cell r="M1">
            <v>110</v>
          </cell>
          <cell r="N1">
            <v>120</v>
          </cell>
          <cell r="O1">
            <v>130</v>
          </cell>
          <cell r="P1">
            <v>140</v>
          </cell>
          <cell r="Q1">
            <v>150</v>
          </cell>
          <cell r="R1">
            <v>160</v>
          </cell>
          <cell r="S1">
            <v>170</v>
          </cell>
          <cell r="T1">
            <v>180</v>
          </cell>
          <cell r="U1">
            <v>5</v>
          </cell>
          <cell r="V1">
            <v>5</v>
          </cell>
          <cell r="W1">
            <v>5</v>
          </cell>
          <cell r="X1">
            <v>5</v>
          </cell>
          <cell r="Y1">
            <v>5</v>
          </cell>
        </row>
        <row r="2">
          <cell r="J2" t="str">
            <v>c10</v>
          </cell>
          <cell r="K2" t="str">
            <v>c11</v>
          </cell>
          <cell r="L2" t="str">
            <v>c12</v>
          </cell>
          <cell r="M2" t="str">
            <v>c13</v>
          </cell>
          <cell r="N2" t="str">
            <v>c14</v>
          </cell>
          <cell r="O2" t="str">
            <v>c15</v>
          </cell>
          <cell r="P2" t="str">
            <v>c16</v>
          </cell>
          <cell r="Q2" t="str">
            <v>c17</v>
          </cell>
          <cell r="R2" t="str">
            <v>c18</v>
          </cell>
          <cell r="S2" t="str">
            <v>c19</v>
          </cell>
          <cell r="T2" t="str">
            <v>c20</v>
          </cell>
          <cell r="U2" t="str">
            <v>c21</v>
          </cell>
          <cell r="V2" t="str">
            <v>c22</v>
          </cell>
          <cell r="W2" t="str">
            <v>c23</v>
          </cell>
          <cell r="X2" t="str">
            <v>c24</v>
          </cell>
          <cell r="Y2" t="str">
            <v>c25</v>
          </cell>
        </row>
      </sheetData>
      <sheetData sheetId="3" refreshError="1">
        <row r="1">
          <cell r="J1">
            <v>3</v>
          </cell>
          <cell r="K1" t="str">
            <v>hdr</v>
          </cell>
          <cell r="L1">
            <v>100</v>
          </cell>
          <cell r="M1">
            <v>110</v>
          </cell>
          <cell r="N1">
            <v>120</v>
          </cell>
          <cell r="O1">
            <v>130</v>
          </cell>
          <cell r="P1">
            <v>140</v>
          </cell>
          <cell r="Q1">
            <v>150</v>
          </cell>
          <cell r="R1">
            <v>160</v>
          </cell>
          <cell r="S1">
            <v>170</v>
          </cell>
          <cell r="T1">
            <v>180</v>
          </cell>
          <cell r="U1">
            <v>5</v>
          </cell>
          <cell r="V1">
            <v>5</v>
          </cell>
          <cell r="W1">
            <v>5</v>
          </cell>
          <cell r="X1">
            <v>5</v>
          </cell>
          <cell r="Y1">
            <v>5</v>
          </cell>
        </row>
        <row r="2">
          <cell r="J2" t="str">
            <v>c10</v>
          </cell>
          <cell r="K2" t="str">
            <v>c11</v>
          </cell>
          <cell r="L2" t="str">
            <v>c12</v>
          </cell>
          <cell r="M2" t="str">
            <v>c13</v>
          </cell>
          <cell r="N2" t="str">
            <v>c14</v>
          </cell>
          <cell r="O2" t="str">
            <v>c15</v>
          </cell>
          <cell r="P2" t="str">
            <v>c16</v>
          </cell>
          <cell r="Q2" t="str">
            <v>c17</v>
          </cell>
          <cell r="R2" t="str">
            <v>c18</v>
          </cell>
          <cell r="S2" t="str">
            <v>c19</v>
          </cell>
          <cell r="T2" t="str">
            <v>c20</v>
          </cell>
          <cell r="U2" t="str">
            <v>c21</v>
          </cell>
          <cell r="V2" t="str">
            <v>c22</v>
          </cell>
          <cell r="W2" t="str">
            <v>c23</v>
          </cell>
          <cell r="X2" t="str">
            <v>c24</v>
          </cell>
          <cell r="Y2" t="str">
            <v>c25</v>
          </cell>
        </row>
      </sheetData>
      <sheetData sheetId="4">
        <row r="1">
          <cell r="A1" t="str">
            <v>b</v>
          </cell>
          <cell r="B1" t="str">
            <v>t1</v>
          </cell>
        </row>
        <row r="2">
          <cell r="A2" t="str">
            <v>d</v>
          </cell>
          <cell r="B2" t="str">
            <v>t2</v>
          </cell>
        </row>
        <row r="3">
          <cell r="A3" t="str">
            <v>f</v>
          </cell>
          <cell r="B3" t="str">
            <v>t3</v>
          </cell>
        </row>
        <row r="4">
          <cell r="A4" t="str">
            <v>h</v>
          </cell>
          <cell r="B4" t="str">
            <v>t4</v>
          </cell>
        </row>
        <row r="5">
          <cell r="A5" t="str">
            <v>j</v>
          </cell>
          <cell r="B5" t="str">
            <v>t5</v>
          </cell>
        </row>
        <row r="6">
          <cell r="A6" t="str">
            <v>a</v>
          </cell>
          <cell r="B6" t="str">
            <v>t6</v>
          </cell>
        </row>
        <row r="7">
          <cell r="A7" t="str">
            <v>a</v>
          </cell>
          <cell r="B7" t="str">
            <v>t7</v>
          </cell>
        </row>
        <row r="8">
          <cell r="A8" t="str">
            <v>a</v>
          </cell>
          <cell r="B8" t="str">
            <v>t8</v>
          </cell>
        </row>
      </sheetData>
      <sheetData sheetId="5">
        <row r="1">
          <cell r="A1">
            <v>50</v>
          </cell>
          <cell r="B1" t="str">
            <v>d1</v>
          </cell>
        </row>
        <row r="2">
          <cell r="A2">
            <v>40</v>
          </cell>
          <cell r="B2" t="str">
            <v>d2</v>
          </cell>
        </row>
        <row r="3">
          <cell r="A3">
            <v>30</v>
          </cell>
          <cell r="B3" t="str">
            <v>d3</v>
          </cell>
        </row>
        <row r="4">
          <cell r="A4">
            <v>20</v>
          </cell>
          <cell r="B4" t="str">
            <v>d4</v>
          </cell>
        </row>
        <row r="5">
          <cell r="A5">
            <v>10</v>
          </cell>
          <cell r="B5" t="str">
            <v>d5</v>
          </cell>
        </row>
      </sheetData>
      <sheetData sheetId="6">
        <row r="1">
          <cell r="A1">
            <v>1</v>
          </cell>
          <cell r="B1">
            <v>10</v>
          </cell>
        </row>
        <row r="2">
          <cell r="A2">
            <v>2</v>
          </cell>
          <cell r="B2">
            <v>20</v>
          </cell>
        </row>
        <row r="3">
          <cell r="A3">
            <v>3</v>
          </cell>
          <cell r="B3">
            <v>30</v>
          </cell>
        </row>
        <row r="4">
          <cell r="A4">
            <v>4</v>
          </cell>
          <cell r="B4">
            <v>40</v>
          </cell>
        </row>
        <row r="5">
          <cell r="A5">
            <v>5</v>
          </cell>
          <cell r="B5">
            <v>50</v>
          </cell>
        </row>
      </sheetData>
      <sheetData sheetId="7" refreshError="1">
        <row r="1">
          <cell r="A1">
            <v>1</v>
          </cell>
          <cell r="B1">
            <v>10</v>
          </cell>
        </row>
        <row r="2">
          <cell r="A2">
            <v>2</v>
          </cell>
          <cell r="B2">
            <v>20</v>
          </cell>
        </row>
        <row r="3">
          <cell r="A3">
            <v>3</v>
          </cell>
          <cell r="B3">
            <v>30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SUM(INDEX([1]Idx!$A$1:$A$5,SMALL({0,1},1)))</f>
      </c>
    </row>
    <row r="2">
      <c r="E2">
        <f>IF(TRUE,INDEX([1]Idx!$A$1:$A$5,SMALL({0,1},1)))</f>
      </c>
    </row>
    <row r="3">
      <c r="E3">
        <f>INDEX([1]Idx!$A$1:$A$5,SMALL({0,1},1))*2</f>
      </c>
    </row>
    <row r="4">
      <c r="E4">
        <f>INDEX([1]Idx!$A$1:$A$5,SMALL({0,1},1))</f>
      </c>
    </row>
    <row r="5">
      <c r="E5">
        <f>IFERROR(INDEX([1]Idx!$A$1:$A$5,SMALL({0,1},1)),"")</f>
      </c>
    </row>
    <row r="6">
      <c r="E6">
        <f>INDEX([1]Idx!$A$1:$A$5,SMALL({0,1},1))*2</f>
      </c>
    </row>
    <row r="7">
      <c r="E7">
        <f>INDEX([1]Idx!$A$1:$A$5,SMALL({2,3},2))</f>
      </c>
    </row>
    <row r="8">
      <c r="E8">
        <f>INDEX([1]Idx!$A$1:$A$5,SMALL({9,7},1))</f>
      </c>
    </row>
    <row r="9">
      <c r="E9">
        <f>INDEX([1]Idx!$A$1:$A$5,SMALL({1.9,3},1))</f>
      </c>
    </row>
    <row r="10">
      <c r="E10">
        <f>INDEX([1]Idx!$A$1:$A$5,-SMALL({1,3},1))</f>
      </c>
    </row>
    <row r="11">
      <c r="E11">
        <f>INDEX([1]Idx!$A$1:$A$5,SMALL({1,2},3))</f>
      </c>
    </row>
    <row r="12">
      <c r="E12">
        <f>ROWS(INDEX([1]Idx!$A$1:$A$5,SMALL({0,1},1)))</f>
      </c>
    </row>
    <row r="13">
      <c r="E13">
        <f>ROW(INDEX([1]Idx!$A$1:$A$5,SMALL({4,1},2)))</f>
      </c>
    </row>
    <row r="14">
      <c r="E14">
        <f>ISREF(INDEX([1]Idx!$A$1:$A$5,SMALL({4,1},2)))</f>
      </c>
    </row>
    <row r="15">
      <c r="E15">
        <f>INDEX([1]IdxErr!$A$1:$A$5,SMALL({4,1},2))</f>
      </c>
    </row>
    <row r="16">
      <c r="E16">
        <f>INDEX([1]Idx!$A$1:$A$9,SMALL({8,1},2))</f>
      </c>
    </row>
    <row r="17">
      <c r="E17">
        <f t="array" ref="E17">INDEX([1]Idx!$A$1:$A$5,SMALL({0,1},1))</f>
      </c>
    </row>
    <row r="18">
      <c r="E18">
        <f t="array" ref="E18">IF(TRUE,INDEX([1]Idx!$A$1:$A$5,SMALL({0,1},1)))</f>
      </c>
    </row>
    <row r="19">
      <c r="E19">
        <f t="array" ref="E19">IFERROR(INDEX([1]Idx!$A$1:$A$5,SMALL({0,1},1)),"")</f>
      </c>
    </row>
    <row r="20">
      <c r="E20">
        <f t="array" ref="E20">IF(ROWS($E$20:E20)&gt;2,"",INDEX([1]Idx!$B$1:$B$5,SMALL(IF([1]Idx!$A$1:$A$5&gt;=2,IF([1]Idx!$A$1:$A$5&lt;=4,ROW([1]Idx!$A$1:$A$5)-ROW([1]Idx!$A$1)+1)),ROWS($E$20:E20))))</f>
      </c>
    </row>
    <row r="21">
      <c r="E21">
        <f t="array" ref="E21">IF(ROWS($E$20:E21)&gt;2,"",INDEX([1]Idx!$B$1:$B$5,SMALL(IF([1]Idx!$A$1:$A$5&gt;=2,IF([1]Idx!$A$1:$A$5&lt;=4,ROW([1]Idx!$A$1:$A$5)-ROW([1]Idx!$A$1)+1)),ROWS($E$20:E21))))</f>
      </c>
    </row>
    <row r="22">
      <c r="E22">
        <f t="array" ref="E22">INDEX([1]Idx!$B$1:$B$5,LARGE(INDEX(ROW([1]Idx!$A$1:$A$5)*([1]Idx!$A$1:$A$5&gt;2),),1))</f>
      </c>
    </row>
    <row r="23">
      <c r="E23">
        <f t="array" ref="E23">IFERROR(INDEX([1]Idx!$B$1:$B$100,SMALL(IF(([1]Idx!$A$1:$A$100=3),ROW([1]Idx!$B$1:$B$100),""),1)),"")</f>
      </c>
    </row>
    <row r="24">
      <c r="E24">
        <f t="array" ref="E24">IFERROR(INDEX([1]Idx!$B$1:$B$100,SMALL(IF(([1]Idx!$A$1:$A$100=9),ROW([1]Idx!$B$1:$B$100),""),1)),"")</f>
      </c>
    </row>
    <row r="25">
      <c r="E25">
        <f>INDEX([1]Idx!$A$1:$B$5,SMALL({3,1},2),SMALL({2,1},2))</f>
      </c>
    </row>
    <row r="26">
      <c r="E26">
        <f>SUM(INDEX([1]Idx!$A$1:$B$5,SMALL({0,1},1),SMALL({2,1},2)))</f>
      </c>
    </row>
    <row r="27">
      <c r="E27">
        <f>INDEX([1]Idx!$A$1:$B$5,SMALL({3,1},2),SMALL({0,1},1))*1</f>
      </c>
    </row>
    <row r="32">
      <c r="E32">
        <f>COUNTA(INDEX([1]IdxErr!$A$1:$A$9,SMALL({0,1},1)))</f>
      </c>
    </row>
    <row r="33">
      <c r="E33">
        <f t="array" ref="E33">INDEX([1]Idx!$A$1:$A$5,SMALL({0,1},1))+0</f>
      </c>
    </row>
    <row r="34">
      <c r="E34">
        <f>IFERROR(INDEX([1]IdxErr!$A$1:$A$5,SMALL({4,1},2)),"x")</f>
      </c>
    </row>
    <row r="35">
      <c r="E35">
        <f>INDEX([1]Idx!$A$1:$A$5,"2")</f>
      </c>
    </row>
    <row r="36">
      <c r="E36">
        <f>INDEX([1]Idx!$A$1:$E$1,SMALL({0,1},1))</f>
      </c>
    </row>
    <row r="37">
      <c r="E37">
        <f>INDEX([1]Idx!$A$1:$A$5,FALSE)*1</f>
      </c>
    </row>
    <row r="40">
      <c r="E40">
        <f>VLOOKUP(165,[1]Ok!$A:$B,2,TRUE)</f>
      </c>
    </row>
    <row r="41">
      <c r="E41">
        <f>VLOOKUP(135,[1]Ok!$A:$B,2,TRUE)</f>
      </c>
    </row>
    <row r="42">
      <c r="E42">
        <f>VLOOKUP(180,[1]Ok!$A:$B,2,TRUE)</f>
      </c>
    </row>
    <row r="43">
      <c r="E43">
        <f>VLOOKUP(125,[1]Ok!$A:$B,2,TRUE)</f>
      </c>
    </row>
    <row r="44">
      <c r="E44">
        <f>VLOOKUP(100,[1]Ok!$A:$B,2,TRUE)</f>
      </c>
    </row>
    <row r="45">
      <c r="E45">
        <f>VLOOKUP(3,[1]Ok!$A:$B,2,TRUE)</f>
      </c>
    </row>
    <row r="46">
      <c r="E46">
        <f>VLOOKUP(2,[1]Ok!$A:$B,2,TRUE)</f>
      </c>
    </row>
    <row r="47">
      <c r="E47">
        <f>VLOOKUP(500,[1]Ok!$A:$B,2,TRUE)</f>
      </c>
    </row>
    <row r="48">
      <c r="E48">
        <f>VLOOKUP(165,[1]Err!$A:$B,2,TRUE)</f>
      </c>
    </row>
    <row r="49">
      <c r="E49">
        <f>VLOOKUP(135,[1]Err!$A:$B,2,TRUE)</f>
      </c>
    </row>
    <row r="50">
      <c r="E50">
        <f>VLOOKUP(180,[1]Err!$A:$B,2,TRUE)</f>
      </c>
    </row>
    <row r="51">
      <c r="E51">
        <f>VLOOKUP(125,[1]Err!$A:$B,2,TRUE)</f>
      </c>
    </row>
    <row r="52">
      <c r="E52">
        <f>VLOOKUP(100,[1]Err!$A:$B,2,TRUE)</f>
      </c>
    </row>
    <row r="53">
      <c r="E53">
        <f>VLOOKUP(3,[1]Err!$A:$B,2,TRUE)</f>
      </c>
    </row>
    <row r="54">
      <c r="E54">
        <f>VLOOKUP(2,[1]Err!$A:$B,2,TRUE)</f>
      </c>
    </row>
    <row r="55">
      <c r="E55">
        <f>VLOOKUP(500,[1]Err!$A:$B,2,TRUE)</f>
      </c>
    </row>
    <row r="56">
      <c r="E56">
        <f>VLOOKUP(165,Loc!$A:$B,2,TRUE)</f>
      </c>
    </row>
    <row r="57">
      <c r="E57">
        <f>VLOOKUP(135,Loc!$A:$B,2,TRUE)</f>
      </c>
    </row>
    <row r="58">
      <c r="E58">
        <f>VLOOKUP(180,Loc!$A:$B,2,TRUE)</f>
      </c>
    </row>
    <row r="59">
      <c r="E59">
        <f>VLOOKUP(2,Loc!$A:$B,2,TRUE)</f>
      </c>
    </row>
    <row r="60">
      <c r="E60">
        <f>VLOOKUP(165,[1]Ok!$A:$B,2)</f>
      </c>
    </row>
    <row r="61">
      <c r="E61">
        <f>VLOOKUP(135,[1]Ok!$A$1:$B$30,2,TRUE)</f>
      </c>
    </row>
    <row r="62">
      <c r="E62">
        <f>VLOOKUP(135,[1]Ok!$A$1:$B$1000,2,TRUE)</f>
      </c>
    </row>
    <row r="63">
      <c r="E63">
        <f>VLOOKUP(135,[1]Err!$A$1:$B$30,2,TRUE)</f>
      </c>
    </row>
    <row r="64">
      <c r="E64">
        <f>VLOOKUP(135,Loc!$A$1:$B$30,2,TRUE)</f>
      </c>
    </row>
    <row r="65">
      <c r="E65">
        <f>VLOOKUP(165,[1]Ok!$A:$B,1,TRUE)</f>
      </c>
    </row>
    <row r="66">
      <c r="E66">
        <f>VLOOKUP(165,[1]Ok!$A:$Z,2,TRUE)</f>
      </c>
    </row>
    <row r="67">
      <c r="E67">
        <f>VLOOKUP(165,[1]Ok!$A:$D,4,TRUE)</f>
      </c>
    </row>
    <row r="68">
      <c r="E68">
        <f>VLOOKUP(165,[1]Err!$A:$D,4,TRUE)</f>
      </c>
    </row>
    <row r="69">
      <c r="E69">
        <f>VLOOKUP(125,[1]Err!$A:$D,4,TRUE)</f>
      </c>
    </row>
    <row r="70">
      <c r="E70">
        <f>VLOOKUP(165,[1]Ok!$A$1:$B$1048576,2,TRUE)</f>
      </c>
    </row>
    <row r="71">
      <c r="E71">
        <f>VLOOKUP(165,[1]Ok!$A$12:$B$1048576,2,TRUE)</f>
      </c>
    </row>
    <row r="72">
      <c r="E72">
        <f>VLOOKUP("c",[1]Txt!$A:$B,2,TRUE)</f>
      </c>
    </row>
    <row r="73">
      <c r="E73">
        <f>VLOOKUP("i",[1]Txt!$A:$B,2,TRUE)</f>
      </c>
    </row>
    <row r="74">
      <c r="E74">
        <f>VLOOKUP("c",LocTxt!$A:$B,2,TRUE)</f>
      </c>
    </row>
    <row r="75">
      <c r="E75">
        <f>MATCH(165,[1]Ok!$A:$A,1)</f>
      </c>
    </row>
    <row r="76">
      <c r="E76">
        <f>MATCH(165,[1]Ok!$A:$A)</f>
      </c>
    </row>
    <row r="77">
      <c r="E77">
        <f>MATCH(135,[1]Ok!$A:$A,1)</f>
      </c>
    </row>
    <row r="78">
      <c r="E78">
        <f>MATCH(165,[1]Err!$A:$A,1)</f>
      </c>
    </row>
    <row r="79">
      <c r="E79">
        <f>MATCH(165,[1]Err!$A:$A)</f>
      </c>
    </row>
    <row r="80">
      <c r="E80">
        <f>MATCH(135,[1]Err!$A:$A,1)</f>
      </c>
    </row>
    <row r="81">
      <c r="E81">
        <f>MATCH(165,Loc!$A:$A,1)</f>
      </c>
    </row>
    <row r="82">
      <c r="E82">
        <f>MATCH(135,[1]Ok!$A$1:$A$30,1)</f>
      </c>
    </row>
    <row r="83">
      <c r="E83">
        <f>MATCH("c",[1]Txt!$A:$A,1)</f>
      </c>
    </row>
    <row r="84">
      <c r="E84">
        <f>MATCH("i",[1]Txt!$A:$A)</f>
      </c>
    </row>
    <row r="85">
      <c r="E85">
        <f>MATCH("c",LocTxt!$A:$A,1)</f>
      </c>
    </row>
    <row r="86">
      <c r="E86">
        <f>MATCH(35,[1]Desc!$A:$A,-1)</f>
      </c>
    </row>
    <row r="87">
      <c r="E87">
        <f>MATCH(35,LocDesc!$A:$A,-1)</f>
      </c>
    </row>
    <row r="88">
      <c r="E88">
        <f>MATCH(35,[1]Desc!$A$1:$A$5,-1)</f>
      </c>
    </row>
    <row r="93">
      <c r="E93">
        <f>HLOOKUP(165,[1]Row!$1:$2,2,TRUE)</f>
      </c>
    </row>
    <row r="94">
      <c r="E94">
        <f>HLOOKUP(135,[1]Row!$A$1:$AD$2,2,TRUE)</f>
      </c>
    </row>
    <row r="95">
      <c r="E95">
        <f>HLOOKUP(165,[1]RowErr!$1:$2,2,TRUE)</f>
      </c>
    </row>
    <row r="96">
      <c r="E96">
        <f>HLOOKUP(135,[1]RowErr!$A$1:$AD$2,2,TRUE)</f>
      </c>
    </row>
    <row r="97">
      <c r="E97">
        <f>HLOOKUP(165,LocRow!$1:$2,2,TRUE)</f>
      </c>
    </row>
    <row r="98">
      <c r="E98">
        <f>LOOKUP(165,[1]Ok!$A:$A,[1]Ok!$B:$B)</f>
      </c>
    </row>
    <row r="99">
      <c r="E99">
        <f>LOOKUP(165,[1]Ok!$A:$B)</f>
      </c>
    </row>
    <row r="100">
      <c r="E100">
        <f>LOOKUP(165,[1]Err!$A:$A,[1]Err!$B:$B)</f>
      </c>
    </row>
    <row r="101">
      <c r="E101">
        <f>LOOKUP(165,[1]Err!$A:$B)</f>
      </c>
    </row>
    <row r="102">
      <c r="E102">
        <f>LOOKUP(165,Loc!$A:$A,Loc!$B:$B)</f>
      </c>
    </row>
    <row r="103">
      <c r="E103">
        <f>LOOKUP("c",[1]Txt!$A:$A,[1]Txt!$B:$B)</f>
      </c>
    </row>
    <row r="104">
      <c r="E104">
        <f>_xlfn.XLOOKUP(165,[1]Ok!$A:$A,[1]Ok!$B:$B,"none",-1)</f>
      </c>
    </row>
    <row r="105">
      <c r="E105">
        <f>_xlfn.XLOOKUP(165,[1]Ok!$A:$A,[1]Ok!$B:$B,"none",1)</f>
      </c>
    </row>
    <row r="106">
      <c r="E106">
        <f>_xlfn.XMATCH(165,[1]Ok!$A:$A,-1)</f>
      </c>
    </row>
    <row r="107">
      <c r="E107">
        <f>_xlfn.XMATCH(165,[1]Ok!$A:$A,1)</f>
      </c>
    </row>
    <row r="109">
      <c r="E109">
        <f>_xlfn.XLOOKUP(165,[1]Err!$A:$A,[1]Err!$B:$B,"none",-1)</f>
      </c>
    </row>
    <row r="110">
      <c r="E110">
        <f>_xlfn.XLOOKUP(165,[1]Err!$A:$A,[1]Err!$B:$B,"none",1)</f>
      </c>
    </row>
    <row r="111">
      <c r="E111">
        <f>_xlfn.XMATCH(165,[1]Err!$A:$A,-1)</f>
      </c>
    </row>
    <row r="112">
      <c r="E112">
        <f>_xlfn.XMATCH(165,[1]Err!$A:$A,1)</f>
      </c>
    </row>
    <row r="114">
      <c r="E114">
        <f>_xlfn.XLOOKUP(165,Loc!$A:$A,Loc!$B:$B,"none",1)</f>
      </c>
    </row>
    <row r="116">
      <c r="E116">
        <f>VLOOKUP(35797,[1]Ok!$A:$Z,11,TRUE)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0">
      <c r="A10">
        <v>3</v>
      </c>
      <c r="B10" t="inlineStr">
        <is>
          <t>r10</t>
        </is>
      </c>
    </row>
    <row r="11">
      <c r="A11" t="inlineStr">
        <is>
          <t>hdr</t>
        </is>
      </c>
      <c r="B11" t="inlineStr">
        <is>
          <t>r11</t>
        </is>
      </c>
    </row>
    <row r="12">
      <c r="A12">
        <v>100</v>
      </c>
      <c r="B12" t="inlineStr">
        <is>
          <t>r12</t>
        </is>
      </c>
    </row>
    <row r="13">
      <c r="A13">
        <v>110</v>
      </c>
      <c r="B13" t="inlineStr">
        <is>
          <t>r13</t>
        </is>
      </c>
    </row>
    <row r="14">
      <c r="A14">
        <v>120</v>
      </c>
      <c r="B14" t="inlineStr">
        <is>
          <t>r14</t>
        </is>
      </c>
    </row>
    <row r="15">
      <c r="A15">
        <v>130</v>
      </c>
      <c r="B15" t="inlineStr">
        <is>
          <t>r15</t>
        </is>
      </c>
    </row>
    <row r="16">
      <c r="A16">
        <v>140</v>
      </c>
      <c r="B16" t="inlineStr">
        <is>
          <t>r16</t>
        </is>
      </c>
    </row>
    <row r="17">
      <c r="A17">
        <v>150</v>
      </c>
      <c r="B17" t="inlineStr">
        <is>
          <t>r17</t>
        </is>
      </c>
    </row>
    <row r="18">
      <c r="A18">
        <v>160</v>
      </c>
      <c r="B18" t="inlineStr">
        <is>
          <t>r18</t>
        </is>
      </c>
    </row>
    <row r="19">
      <c r="A19">
        <v>170</v>
      </c>
      <c r="B19" t="inlineStr">
        <is>
          <t>r19</t>
        </is>
      </c>
    </row>
    <row r="20">
      <c r="A20">
        <v>180</v>
      </c>
      <c r="B20" t="inlineStr">
        <is>
          <t>r20</t>
        </is>
      </c>
    </row>
    <row r="21">
      <c r="A21">
        <v>5</v>
      </c>
      <c r="B21" t="inlineStr">
        <is>
          <t>r21</t>
        </is>
      </c>
    </row>
    <row r="22">
      <c r="A22">
        <v>5</v>
      </c>
      <c r="B22" t="inlineStr">
        <is>
          <t>r22</t>
        </is>
      </c>
    </row>
    <row r="23">
      <c r="A23">
        <v>5</v>
      </c>
      <c r="B23" t="inlineStr">
        <is>
          <t>r23</t>
        </is>
      </c>
    </row>
    <row r="24">
      <c r="A24">
        <v>5</v>
      </c>
      <c r="B24" t="inlineStr">
        <is>
          <t>r24</t>
        </is>
      </c>
    </row>
    <row r="25">
      <c r="A25">
        <v>5</v>
      </c>
      <c r="B25" t="inlineStr">
        <is>
          <t>r25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J1">
        <v>3</v>
      </c>
      <c r="K1" t="inlineStr">
        <is>
          <t>hdr</t>
        </is>
      </c>
      <c r="L1">
        <v>100</v>
      </c>
      <c r="M1">
        <v>110</v>
      </c>
      <c r="N1">
        <v>120</v>
      </c>
      <c r="O1">
        <v>130</v>
      </c>
      <c r="P1">
        <v>140</v>
      </c>
      <c r="Q1">
        <v>150</v>
      </c>
      <c r="R1">
        <v>160</v>
      </c>
      <c r="S1">
        <v>170</v>
      </c>
      <c r="T1">
        <v>180</v>
      </c>
      <c r="U1">
        <v>5</v>
      </c>
      <c r="V1">
        <v>5</v>
      </c>
      <c r="W1">
        <v>5</v>
      </c>
      <c r="X1">
        <v>5</v>
      </c>
      <c r="Y1">
        <v>5</v>
      </c>
    </row>
    <row r="2">
      <c r="J2" t="inlineStr">
        <is>
          <t>c10</t>
        </is>
      </c>
      <c r="K2" t="inlineStr">
        <is>
          <t>c11</t>
        </is>
      </c>
      <c r="L2" t="inlineStr">
        <is>
          <t>c12</t>
        </is>
      </c>
      <c r="M2" t="inlineStr">
        <is>
          <t>c13</t>
        </is>
      </c>
      <c r="N2" t="inlineStr">
        <is>
          <t>c14</t>
        </is>
      </c>
      <c r="O2" t="inlineStr">
        <is>
          <t>c15</t>
        </is>
      </c>
      <c r="P2" t="inlineStr">
        <is>
          <t>c16</t>
        </is>
      </c>
      <c r="Q2" t="inlineStr">
        <is>
          <t>c17</t>
        </is>
      </c>
      <c r="R2" t="inlineStr">
        <is>
          <t>c18</t>
        </is>
      </c>
      <c r="S2" t="inlineStr">
        <is>
          <t>c19</t>
        </is>
      </c>
      <c r="T2" t="inlineStr">
        <is>
          <t>c20</t>
        </is>
      </c>
      <c r="U2" t="inlineStr">
        <is>
          <t>c21</t>
        </is>
      </c>
      <c r="V2" t="inlineStr">
        <is>
          <t>c22</t>
        </is>
      </c>
      <c r="W2" t="inlineStr">
        <is>
          <t>c23</t>
        </is>
      </c>
      <c r="X2" t="inlineStr">
        <is>
          <t>c24</t>
        </is>
      </c>
      <c r="Y2" t="inlineStr">
        <is>
          <t>c25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</t>
        </is>
      </c>
      <c r="B1" t="inlineStr">
        <is>
          <t>t1</t>
        </is>
      </c>
    </row>
    <row r="2">
      <c r="A2" t="inlineStr">
        <is>
          <t>d</t>
        </is>
      </c>
      <c r="B2" t="inlineStr">
        <is>
          <t>t2</t>
        </is>
      </c>
    </row>
    <row r="3">
      <c r="A3" t="inlineStr">
        <is>
          <t>f</t>
        </is>
      </c>
      <c r="B3" t="inlineStr">
        <is>
          <t>t3</t>
        </is>
      </c>
    </row>
    <row r="4">
      <c r="A4" t="inlineStr">
        <is>
          <t>h</t>
        </is>
      </c>
      <c r="B4" t="inlineStr">
        <is>
          <t>t4</t>
        </is>
      </c>
    </row>
    <row r="5">
      <c r="A5" t="inlineStr">
        <is>
          <t>j</t>
        </is>
      </c>
      <c r="B5" t="inlineStr">
        <is>
          <t>t5</t>
        </is>
      </c>
    </row>
    <row r="6">
      <c r="A6" t="inlineStr">
        <is>
          <t>a</t>
        </is>
      </c>
      <c r="B6" t="inlineStr">
        <is>
          <t>t6</t>
        </is>
      </c>
    </row>
    <row r="7">
      <c r="A7" t="inlineStr">
        <is>
          <t>a</t>
        </is>
      </c>
      <c r="B7" t="inlineStr">
        <is>
          <t>t7</t>
        </is>
      </c>
    </row>
    <row r="8">
      <c r="A8" t="inlineStr">
        <is>
          <t>a</t>
        </is>
      </c>
      <c r="B8" t="inlineStr">
        <is>
          <t>t8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>
        <v>50</v>
      </c>
      <c r="B1" t="inlineStr">
        <is>
          <t>d1</t>
        </is>
      </c>
    </row>
    <row r="2">
      <c r="A2">
        <v>40</v>
      </c>
      <c r="B2" t="inlineStr">
        <is>
          <t>d2</t>
        </is>
      </c>
    </row>
    <row r="3">
      <c r="A3">
        <v>30</v>
      </c>
      <c r="B3" t="inlineStr">
        <is>
          <t>d3</t>
        </is>
      </c>
    </row>
    <row r="4">
      <c r="A4">
        <v>20</v>
      </c>
      <c r="B4" t="inlineStr">
        <is>
          <t>d4</t>
        </is>
      </c>
    </row>
    <row r="5">
      <c r="A5">
        <v>10</v>
      </c>
      <c r="B5" t="inlineStr">
        <is>
          <t>d5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10</v>
      </c>
    </row>
    <row r="2">
      <c r="A2">
        <v>2</v>
      </c>
      <c r="B2">
        <v>20</v>
      </c>
    </row>
    <row r="3">
      <c r="A3">
        <v>3</v>
      </c>
      <c r="B3">
        <v>30</v>
      </c>
    </row>
    <row r="4">
      <c r="A4">
        <v>4</v>
      </c>
      <c r="B4">
        <v>40</v>
      </c>
    </row>
    <row r="5">
      <c r="A5">
        <v>5</v>
      </c>
      <c r="B5">
        <v>50</v>
      </c>
    </row>
  </sheetData>
</worksheet>
</file>